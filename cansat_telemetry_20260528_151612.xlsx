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📡 Telemetry" sheetId="1" state="visible" r:id="rId1"/>
    <sheet name="📊 Statistic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onsolas"/>
      <b val="1"/>
      <color rgb="0000FF88"/>
      <sz val="13"/>
    </font>
    <font>
      <name val="Consolas"/>
      <color rgb="00334455"/>
      <sz val="8"/>
    </font>
    <font>
      <name val="Consolas"/>
      <b val="1"/>
      <color rgb="0000D4FF"/>
      <sz val="11"/>
    </font>
    <font>
      <name val="Consolas"/>
      <color rgb="00AADDFF"/>
      <sz val="10"/>
    </font>
    <font>
      <name val="Consolas"/>
      <b val="1"/>
      <color rgb="0000FF88"/>
      <sz val="11"/>
    </font>
    <font>
      <name val="Consolas"/>
      <b val="1"/>
      <color rgb="0000FF88"/>
      <sz val="10"/>
    </font>
    <font>
      <name val="Consolas"/>
      <color rgb="0000FF88"/>
      <sz val="10"/>
    </font>
    <font>
      <name val="Consolas"/>
      <b val="1"/>
      <color rgb="0000D4FF"/>
      <sz val="10"/>
    </font>
    <font>
      <name val="Consolas"/>
      <color rgb="0000D4FF"/>
      <sz val="10"/>
    </font>
    <font>
      <name val="Consolas"/>
      <b val="1"/>
      <color rgb="00FF6688"/>
      <sz val="10"/>
    </font>
    <font>
      <name val="Consolas"/>
      <color rgb="00FF6688"/>
      <sz val="10"/>
    </font>
    <font>
      <name val="Consolas"/>
      <b val="1"/>
      <color rgb="00556677"/>
      <sz val="10"/>
    </font>
    <font>
      <name val="Consolas"/>
      <color rgb="00AADDFF"/>
      <sz val="11"/>
    </font>
    <font>
      <name val="Consolas"/>
      <b val="1"/>
      <color rgb="00FF6688"/>
      <sz val="11"/>
    </font>
    <font>
      <name val="Consolas"/>
      <color rgb="00BB88FF"/>
      <sz val="11"/>
    </font>
    <font>
      <name val="Consolas"/>
      <color rgb="00667788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60E1A"/>
      </patternFill>
    </fill>
    <fill>
      <patternFill patternType="solid">
        <fgColor rgb="00112233"/>
      </patternFill>
    </fill>
    <fill>
      <patternFill patternType="solid">
        <fgColor rgb="000A1628"/>
      </patternFill>
    </fill>
    <fill>
      <patternFill patternType="solid">
        <fgColor rgb="00061020"/>
      </patternFill>
    </fill>
    <fill>
      <patternFill patternType="solid">
        <fgColor rgb="001A3A2A"/>
      </patternFill>
    </fill>
    <fill>
      <patternFill patternType="solid">
        <fgColor rgb="001A2A3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Statistics'!A4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Statistics'!$B$4</f>
            </numRef>
          </val>
        </ser>
        <ser>
          <idx val="1"/>
          <order val="1"/>
          <tx>
            <strRef>
              <f>'📊 Statistics'!A5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Statistics'!$B$5</f>
            </numRef>
          </val>
        </ser>
        <ser>
          <idx val="2"/>
          <order val="2"/>
          <tx>
            <strRef>
              <f>'📊 Statistics'!A6</f>
            </strRef>
          </tx>
          <spPr>
            <a:ln>
              <a:prstDash val="solid"/>
            </a:ln>
          </spPr>
          <cat>
            <numRef>
              <f>'📊 Statistics'!$B$3</f>
            </numRef>
          </cat>
          <val>
            <numRef>
              <f>'📊 Statistics'!$B$6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Statistics'!A9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Statistics'!$B$9</f>
            </numRef>
          </val>
        </ser>
        <ser>
          <idx val="1"/>
          <order val="1"/>
          <tx>
            <strRef>
              <f>'📊 Statistics'!A10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Statistics'!$B$10</f>
            </numRef>
          </val>
        </ser>
        <ser>
          <idx val="2"/>
          <order val="2"/>
          <tx>
            <strRef>
              <f>'📊 Statistics'!A11</f>
            </strRef>
          </tx>
          <spPr>
            <a:ln>
              <a:prstDash val="solid"/>
            </a:ln>
          </spPr>
          <cat>
            <numRef>
              <f>'📊 Statistics'!$B$8</f>
            </numRef>
          </cat>
          <val>
            <numRef>
              <f>'📊 Statistics'!$B$11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Statistics'!A14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Statistics'!$B$14</f>
            </numRef>
          </val>
        </ser>
        <ser>
          <idx val="1"/>
          <order val="1"/>
          <tx>
            <strRef>
              <f>'📊 Statistics'!A15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Statistics'!$B$15</f>
            </numRef>
          </val>
        </ser>
        <ser>
          <idx val="2"/>
          <order val="2"/>
          <tx>
            <strRef>
              <f>'📊 Statistics'!A16</f>
            </strRef>
          </tx>
          <spPr>
            <a:ln>
              <a:prstDash val="solid"/>
            </a:ln>
          </spPr>
          <cat>
            <numRef>
              <f>'📊 Statistics'!$B$13</f>
            </numRef>
          </cat>
          <val>
            <numRef>
              <f>'📊 Statistics'!$B$16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Statistics'!A19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Statistics'!$B$19</f>
            </numRef>
          </val>
        </ser>
        <ser>
          <idx val="1"/>
          <order val="1"/>
          <tx>
            <strRef>
              <f>'📊 Statistics'!A20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Statistics'!$B$20</f>
            </numRef>
          </val>
        </ser>
        <ser>
          <idx val="2"/>
          <order val="2"/>
          <tx>
            <strRef>
              <f>'📊 Statistics'!A21</f>
            </strRef>
          </tx>
          <spPr>
            <a:ln>
              <a:prstDash val="solid"/>
            </a:ln>
          </spPr>
          <cat>
            <numRef>
              <f>'📊 Statistics'!$B$18</f>
            </numRef>
          </cat>
          <val>
            <numRef>
              <f>'📊 Statistics'!$B$21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Statistics'!A24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Statistics'!$B$24</f>
            </numRef>
          </val>
        </ser>
        <ser>
          <idx val="1"/>
          <order val="1"/>
          <tx>
            <strRef>
              <f>'📊 Statistics'!A25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Statistics'!$B$25</f>
            </numRef>
          </val>
        </ser>
        <ser>
          <idx val="2"/>
          <order val="2"/>
          <tx>
            <strRef>
              <f>'📊 Statistics'!A26</f>
            </strRef>
          </tx>
          <spPr>
            <a:ln>
              <a:prstDash val="solid"/>
            </a:ln>
          </spPr>
          <cat>
            <numRef>
              <f>'📊 Statistics'!$B$23</f>
            </numRef>
          </cat>
          <val>
            <numRef>
              <f>'📊 Statistics'!$B$26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PM 2.5 (µg/m³)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Voltage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Statistics'!A29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Statistics'!$B$29</f>
            </numRef>
          </val>
        </ser>
        <ser>
          <idx val="1"/>
          <order val="1"/>
          <tx>
            <strRef>
              <f>'📊 Statistics'!A30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Statistics'!$B$30</f>
            </numRef>
          </val>
        </ser>
        <ser>
          <idx val="2"/>
          <order val="2"/>
          <tx>
            <strRef>
              <f>'📊 Statistics'!A31</f>
            </strRef>
          </tx>
          <spPr>
            <a:ln>
              <a:prstDash val="solid"/>
            </a:ln>
          </spPr>
          <cat>
            <numRef>
              <f>'📊 Statistics'!$B$28</f>
            </numRef>
          </cat>
          <val>
            <numRef>
              <f>'📊 Statistics'!$B$31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Altitude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Charts'!B2</f>
            </strRef>
          </tx>
          <spPr>
            <a:ln w="20000">
              <a:solidFill>
                <a:srgbClr val="00D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Charts'!$A$3:$A$7</f>
            </numRef>
          </cat>
          <val>
            <numRef>
              <f>'📈 Charts'!$B$3:$B$7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(calculated)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Charts'!C2</f>
            </strRef>
          </tx>
          <spPr>
            <a:ln w="20000">
              <a:solidFill>
                <a:srgbClr val="00FF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Charts'!$A$3:$A$7</f>
            </numRef>
          </cat>
          <val>
            <numRef>
              <f>'📈 Charts'!$C$3:$C$7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Charts'!D2</f>
            </strRef>
          </tx>
          <spPr>
            <a:ln w="20000">
              <a:solidFill>
                <a:srgbClr val="00FF8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Charts'!$A$3:$A$7</f>
            </numRef>
          </cat>
          <val>
            <numRef>
              <f>'📈 Charts'!$D$3:$D$7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Humidity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Charts'!E2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Charts'!$A$3:$A$7</f>
            </numRef>
          </cat>
          <val>
            <numRef>
              <f>'📈 Charts'!$E$3:$E$7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Battery Voltage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Charts'!F2</f>
            </strRef>
          </tx>
          <spPr>
            <a:ln w="20000">
              <a:solidFill>
                <a:srgbClr val="FFC0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Charts'!$A$3:$A$7</f>
            </numRef>
          </cat>
          <val>
            <numRef>
              <f>'📈 Charts'!$F$3:$F$7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PM 2.5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Charts'!G2</f>
            </strRef>
          </tx>
          <spPr>
            <a:ln w="20000">
              <a:solidFill>
                <a:srgbClr val="0099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Charts'!$A$3:$A$7</f>
            </numRef>
          </cat>
          <val>
            <numRef>
              <f>'📈 Charts'!$G$3:$G$7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µg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48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71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94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</col>
      <colOff>0</colOff>
      <row>117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45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67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89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111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 ht="28" customHeight="1">
      <c r="A1" s="1" t="inlineStr">
        <is>
          <t>🛰  CanSat Telemetry Log  —  28 May 2026  15:16:18  —  5 packets</t>
        </is>
      </c>
    </row>
    <row r="2" ht="14" customHeight="1">
      <c r="A2" s="2" t="inlineStr">
        <is>
          <t>team_id</t>
        </is>
      </c>
      <c r="B2" s="2" t="inlineStr">
        <is>
          <t>time</t>
        </is>
      </c>
      <c r="C2" s="2" t="inlineStr">
        <is>
          <t>wall_clock</t>
        </is>
      </c>
      <c r="D2" s="2" t="inlineStr">
        <is>
          <t>packet_id</t>
        </is>
      </c>
      <c r="E2" s="2" t="inlineStr">
        <is>
          <t>lat</t>
        </is>
      </c>
      <c r="F2" s="2" t="inlineStr">
        <is>
          <t>lon</t>
        </is>
      </c>
      <c r="G2" s="2" t="inlineStr">
        <is>
          <t>sat</t>
        </is>
      </c>
      <c r="H2" s="2" t="inlineStr">
        <is>
          <t>temp</t>
        </is>
      </c>
      <c r="I2" s="2" t="inlineStr">
        <is>
          <t>humidity</t>
        </is>
      </c>
      <c r="J2" s="2" t="inlineStr">
        <is>
          <t>alt_baro</t>
        </is>
      </c>
      <c r="K2" s="2" t="inlineStr">
        <is>
          <t>acc_x</t>
        </is>
      </c>
      <c r="L2" s="2" t="inlineStr">
        <is>
          <t>acc_y</t>
        </is>
      </c>
      <c r="M2" s="2" t="inlineStr">
        <is>
          <t>acc_z</t>
        </is>
      </c>
      <c r="N2" s="2" t="inlineStr">
        <is>
          <t>heading</t>
        </is>
      </c>
      <c r="O2" s="2" t="inlineStr">
        <is>
          <t>pm1_0</t>
        </is>
      </c>
      <c r="P2" s="2" t="inlineStr">
        <is>
          <t>pm2_5</t>
        </is>
      </c>
      <c r="Q2" s="2" t="inlineStr">
        <is>
          <t>pm10</t>
        </is>
      </c>
      <c r="R2" s="2" t="inlineStr">
        <is>
          <t>voltage</t>
        </is>
      </c>
      <c r="S2" s="2" t="inlineStr">
        <is>
          <t>current</t>
        </is>
      </c>
      <c r="T2" s="2" t="inlineStr">
        <is>
          <t>watt</t>
        </is>
      </c>
      <c r="U2" s="2" t="inlineStr">
        <is>
          <t>battery_percent</t>
        </is>
      </c>
      <c r="V2" s="2" t="inlineStr">
        <is>
          <t>status</t>
        </is>
      </c>
      <c r="W2" s="2" t="inlineStr">
        <is>
          <t>speed</t>
        </is>
      </c>
      <c r="X2" s="2" t="inlineStr">
        <is>
          <t>vacc</t>
        </is>
      </c>
    </row>
    <row r="3" ht="22" customHeight="1">
      <c r="A3" s="3" t="inlineStr">
        <is>
          <t>Team ID</t>
        </is>
      </c>
      <c r="B3" s="3" t="inlineStr">
        <is>
          <t>Time (s)</t>
        </is>
      </c>
      <c r="C3" s="3" t="inlineStr">
        <is>
          <t>Clock</t>
        </is>
      </c>
      <c r="D3" s="3" t="inlineStr">
        <is>
          <t>Packet ID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Satellites</t>
        </is>
      </c>
      <c r="H3" s="3" t="inlineStr">
        <is>
          <t>Temp (°C)</t>
        </is>
      </c>
      <c r="I3" s="3" t="inlineStr">
        <is>
          <t>Humidity (%)</t>
        </is>
      </c>
      <c r="J3" s="3" t="inlineStr">
        <is>
          <t>Altitude (m)</t>
        </is>
      </c>
      <c r="K3" s="3" t="inlineStr">
        <is>
          <t>Acc X (mg)</t>
        </is>
      </c>
      <c r="L3" s="3" t="inlineStr">
        <is>
          <t>Acc Y (mg)</t>
        </is>
      </c>
      <c r="M3" s="3" t="inlineStr">
        <is>
          <t>Acc Z (mg)</t>
        </is>
      </c>
      <c r="N3" s="3" t="inlineStr">
        <is>
          <t>Heading (°)</t>
        </is>
      </c>
      <c r="O3" s="3" t="inlineStr">
        <is>
          <t>PM1.0 (µg)</t>
        </is>
      </c>
      <c r="P3" s="3" t="inlineStr">
        <is>
          <t>PM2.5 (µg)</t>
        </is>
      </c>
      <c r="Q3" s="3" t="inlineStr">
        <is>
          <t>PM10 (µg)</t>
        </is>
      </c>
      <c r="R3" s="3" t="inlineStr">
        <is>
          <t>Voltage (V)</t>
        </is>
      </c>
      <c r="S3" s="3" t="inlineStr">
        <is>
          <t>Current (mA)</t>
        </is>
      </c>
      <c r="T3" s="3" t="inlineStr">
        <is>
          <t>Watt (W)</t>
        </is>
      </c>
      <c r="U3" s="3" t="inlineStr">
        <is>
          <t>Battery (%)</t>
        </is>
      </c>
      <c r="V3" s="3" t="inlineStr">
        <is>
          <t>Status</t>
        </is>
      </c>
      <c r="W3" s="3" t="inlineStr">
        <is>
          <t>Speed (m/s)</t>
        </is>
      </c>
      <c r="X3" s="3" t="inlineStr">
        <is>
          <t>Vert Accel (m/s²)</t>
        </is>
      </c>
    </row>
    <row r="4" ht="16" customHeight="1">
      <c r="A4" s="4" t="inlineStr">
        <is>
          <t>14</t>
        </is>
      </c>
      <c r="B4" s="4" t="inlineStr">
        <is>
          <t>8.4 (1)</t>
        </is>
      </c>
      <c r="C4" s="4" t="inlineStr">
        <is>
          <t>15:16:13</t>
        </is>
      </c>
      <c r="D4" s="4" t="inlineStr">
        <is>
          <t>9 (1)</t>
        </is>
      </c>
      <c r="E4" s="4" t="n">
        <v>-1</v>
      </c>
      <c r="F4" s="4" t="n">
        <v>-1</v>
      </c>
      <c r="G4" s="4" t="n">
        <v>0</v>
      </c>
      <c r="H4" s="4" t="n">
        <v>25.55</v>
      </c>
      <c r="I4" s="4" t="n">
        <v>43.9</v>
      </c>
      <c r="J4" s="4" t="n">
        <v>390.9</v>
      </c>
      <c r="K4" s="4" t="n">
        <v>-16</v>
      </c>
      <c r="L4" s="4" t="n">
        <v>-4</v>
      </c>
      <c r="M4" s="4" t="n">
        <v>1004</v>
      </c>
      <c r="N4" s="4" t="n">
        <v>0</v>
      </c>
      <c r="O4" s="4" t="n">
        <v>-1</v>
      </c>
      <c r="P4" s="4" t="n">
        <v>-1</v>
      </c>
      <c r="Q4" s="4" t="n">
        <v>-1</v>
      </c>
      <c r="R4" s="4" t="n">
        <v>-1</v>
      </c>
      <c r="S4" s="4" t="n">
        <v>-1</v>
      </c>
      <c r="T4" s="4" t="n">
        <v>0</v>
      </c>
      <c r="U4" s="4" t="n">
        <v>-1</v>
      </c>
      <c r="V4" s="4" t="n">
        <v>1</v>
      </c>
      <c r="W4" s="4" t="n">
        <v>0</v>
      </c>
      <c r="X4" s="4" t="n">
        <v>0</v>
      </c>
    </row>
    <row r="5" ht="16" customHeight="1">
      <c r="A5" s="5" t="inlineStr">
        <is>
          <t>14</t>
        </is>
      </c>
      <c r="B5" s="5" t="inlineStr">
        <is>
          <t>9.4 (2)</t>
        </is>
      </c>
      <c r="C5" s="5" t="inlineStr">
        <is>
          <t>15:16:14</t>
        </is>
      </c>
      <c r="D5" s="5" t="inlineStr">
        <is>
          <t>10 (2)</t>
        </is>
      </c>
      <c r="E5" s="5" t="n">
        <v>-1</v>
      </c>
      <c r="F5" s="5" t="n">
        <v>-1</v>
      </c>
      <c r="G5" s="5" t="n">
        <v>0</v>
      </c>
      <c r="H5" s="5" t="n">
        <v>25.55</v>
      </c>
      <c r="I5" s="5" t="n">
        <v>43.91</v>
      </c>
      <c r="J5" s="5" t="n">
        <v>390.8</v>
      </c>
      <c r="K5" s="5" t="n">
        <v>-16</v>
      </c>
      <c r="L5" s="5" t="n">
        <v>-4</v>
      </c>
      <c r="M5" s="5" t="n">
        <v>1008</v>
      </c>
      <c r="N5" s="5" t="n">
        <v>0</v>
      </c>
      <c r="O5" s="5" t="n">
        <v>-1</v>
      </c>
      <c r="P5" s="5" t="n">
        <v>-1</v>
      </c>
      <c r="Q5" s="5" t="n">
        <v>-1</v>
      </c>
      <c r="R5" s="5" t="n">
        <v>-1</v>
      </c>
      <c r="S5" s="5" t="n">
        <v>-1</v>
      </c>
      <c r="T5" s="5" t="n">
        <v>0</v>
      </c>
      <c r="U5" s="5" t="n">
        <v>-1</v>
      </c>
      <c r="V5" s="5" t="n">
        <v>1</v>
      </c>
      <c r="W5" s="5" t="n">
        <v>0.1</v>
      </c>
      <c r="X5" s="5" t="n">
        <v>-0.1</v>
      </c>
    </row>
    <row r="6" ht="16" customHeight="1">
      <c r="A6" s="4" t="inlineStr">
        <is>
          <t>14</t>
        </is>
      </c>
      <c r="B6" s="4" t="inlineStr">
        <is>
          <t>10.4 (3)</t>
        </is>
      </c>
      <c r="C6" s="4" t="inlineStr">
        <is>
          <t>15:16:15</t>
        </is>
      </c>
      <c r="D6" s="4" t="inlineStr">
        <is>
          <t>11 (3)</t>
        </is>
      </c>
      <c r="E6" s="4" t="n">
        <v>-1</v>
      </c>
      <c r="F6" s="4" t="n">
        <v>-1</v>
      </c>
      <c r="G6" s="4" t="n">
        <v>0</v>
      </c>
      <c r="H6" s="4" t="n">
        <v>25.55</v>
      </c>
      <c r="I6" s="4" t="n">
        <v>43.9</v>
      </c>
      <c r="J6" s="4" t="n">
        <v>390.9</v>
      </c>
      <c r="K6" s="4" t="n">
        <v>-20</v>
      </c>
      <c r="L6" s="4" t="n">
        <v>0</v>
      </c>
      <c r="M6" s="4" t="n">
        <v>1004</v>
      </c>
      <c r="N6" s="4" t="n">
        <v>0</v>
      </c>
      <c r="O6" s="4" t="n">
        <v>-1</v>
      </c>
      <c r="P6" s="4" t="n">
        <v>-1</v>
      </c>
      <c r="Q6" s="4" t="n">
        <v>-1</v>
      </c>
      <c r="R6" s="4" t="n">
        <v>-1</v>
      </c>
      <c r="S6" s="4" t="n">
        <v>-1</v>
      </c>
      <c r="T6" s="4" t="n">
        <v>0</v>
      </c>
      <c r="U6" s="4" t="n">
        <v>-1</v>
      </c>
      <c r="V6" s="4" t="n">
        <v>1</v>
      </c>
      <c r="W6" s="4" t="n">
        <v>0.1</v>
      </c>
      <c r="X6" s="4" t="n">
        <v>0.2</v>
      </c>
    </row>
    <row r="7" ht="16" customHeight="1">
      <c r="A7" s="5" t="inlineStr">
        <is>
          <t>14</t>
        </is>
      </c>
      <c r="B7" s="5" t="inlineStr">
        <is>
          <t>11.4 (4)</t>
        </is>
      </c>
      <c r="C7" s="5" t="inlineStr">
        <is>
          <t>15:16:16</t>
        </is>
      </c>
      <c r="D7" s="5" t="inlineStr">
        <is>
          <t>12 (4)</t>
        </is>
      </c>
      <c r="E7" s="5" t="n">
        <v>-1</v>
      </c>
      <c r="F7" s="5" t="n">
        <v>-1</v>
      </c>
      <c r="G7" s="5" t="n">
        <v>0</v>
      </c>
      <c r="H7" s="5" t="n">
        <v>25.55</v>
      </c>
      <c r="I7" s="5" t="n">
        <v>43.91</v>
      </c>
      <c r="J7" s="5" t="n">
        <v>390.7</v>
      </c>
      <c r="K7" s="5" t="n">
        <v>-12</v>
      </c>
      <c r="L7" s="5" t="n">
        <v>-4</v>
      </c>
      <c r="M7" s="5" t="n">
        <v>1004</v>
      </c>
      <c r="N7" s="5" t="n">
        <v>0</v>
      </c>
      <c r="O7" s="5" t="n">
        <v>-1</v>
      </c>
      <c r="P7" s="5" t="n">
        <v>-1</v>
      </c>
      <c r="Q7" s="5" t="n">
        <v>-1</v>
      </c>
      <c r="R7" s="5" t="n">
        <v>-1</v>
      </c>
      <c r="S7" s="5" t="n">
        <v>-1</v>
      </c>
      <c r="T7" s="5" t="n">
        <v>0</v>
      </c>
      <c r="U7" s="5" t="n">
        <v>-1</v>
      </c>
      <c r="V7" s="5" t="n">
        <v>1</v>
      </c>
      <c r="W7" s="5" t="n">
        <v>0.2</v>
      </c>
      <c r="X7" s="5" t="n">
        <v>-0.3</v>
      </c>
    </row>
    <row r="8" ht="16" customHeight="1">
      <c r="A8" s="4" t="inlineStr">
        <is>
          <t>14</t>
        </is>
      </c>
      <c r="B8" s="4" t="inlineStr">
        <is>
          <t>12.4 (5)</t>
        </is>
      </c>
      <c r="C8" s="4" t="inlineStr">
        <is>
          <t>15:16:17</t>
        </is>
      </c>
      <c r="D8" s="4" t="inlineStr">
        <is>
          <t>13 (5)</t>
        </is>
      </c>
      <c r="E8" s="4" t="n">
        <v>-1</v>
      </c>
      <c r="F8" s="4" t="n">
        <v>-1</v>
      </c>
      <c r="G8" s="4" t="n">
        <v>0</v>
      </c>
      <c r="H8" s="4" t="n">
        <v>25.55</v>
      </c>
      <c r="I8" s="4" t="n">
        <v>43.91</v>
      </c>
      <c r="J8" s="4" t="n">
        <v>391.1</v>
      </c>
      <c r="K8" s="4" t="n">
        <v>-16</v>
      </c>
      <c r="L8" s="4" t="n">
        <v>0</v>
      </c>
      <c r="M8" s="4" t="n">
        <v>1008</v>
      </c>
      <c r="N8" s="4" t="n">
        <v>0</v>
      </c>
      <c r="O8" s="4" t="n">
        <v>-1</v>
      </c>
      <c r="P8" s="4" t="n">
        <v>-1</v>
      </c>
      <c r="Q8" s="4" t="n">
        <v>-1</v>
      </c>
      <c r="R8" s="4" t="n">
        <v>-1</v>
      </c>
      <c r="S8" s="4" t="n">
        <v>-1</v>
      </c>
      <c r="T8" s="4" t="n">
        <v>0</v>
      </c>
      <c r="U8" s="4" t="n">
        <v>-1</v>
      </c>
      <c r="V8" s="4" t="n">
        <v>1</v>
      </c>
      <c r="W8" s="4" t="n">
        <v>0.4</v>
      </c>
      <c r="X8" s="4" t="n">
        <v>0.6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 ht="28" customHeight="1">
      <c r="A1" s="1" t="inlineStr">
        <is>
          <t>📊  Statistics by Phase  —  Team: 14  |  5 packets  |  15:16:13 – 15:16:17  |  4.0s</t>
        </is>
      </c>
    </row>
    <row r="3" ht="18" customHeight="1">
      <c r="A3" s="3" t="inlineStr">
        <is>
          <t>Altitude</t>
        </is>
      </c>
      <c r="B3" s="6" t="inlineStr">
        <is>
          <t>ASCENDING</t>
        </is>
      </c>
    </row>
    <row r="4" ht="16" customHeight="1">
      <c r="A4" s="7" t="inlineStr">
        <is>
          <t>MAX</t>
        </is>
      </c>
      <c r="B4" s="8" t="n">
        <v>391.1</v>
      </c>
    </row>
    <row r="5" ht="16" customHeight="1">
      <c r="A5" s="9" t="inlineStr">
        <is>
          <t>AVG</t>
        </is>
      </c>
      <c r="B5" s="10" t="n">
        <v>390.88</v>
      </c>
    </row>
    <row r="6" ht="16" customHeight="1">
      <c r="A6" s="11" t="inlineStr">
        <is>
          <t>MIN</t>
        </is>
      </c>
      <c r="B6" s="12" t="n">
        <v>390.7</v>
      </c>
    </row>
    <row r="8" ht="18" customHeight="1">
      <c r="A8" s="3" t="inlineStr">
        <is>
          <t>Temperature</t>
        </is>
      </c>
      <c r="B8" s="6" t="inlineStr">
        <is>
          <t>ASCENDING</t>
        </is>
      </c>
    </row>
    <row r="9" ht="16" customHeight="1">
      <c r="A9" s="7" t="inlineStr">
        <is>
          <t>MAX</t>
        </is>
      </c>
      <c r="B9" s="8" t="n">
        <v>25.55</v>
      </c>
    </row>
    <row r="10" ht="16" customHeight="1">
      <c r="A10" s="9" t="inlineStr">
        <is>
          <t>AVG</t>
        </is>
      </c>
      <c r="B10" s="10" t="n">
        <v>25.55</v>
      </c>
    </row>
    <row r="11" ht="16" customHeight="1">
      <c r="A11" s="11" t="inlineStr">
        <is>
          <t>MIN</t>
        </is>
      </c>
      <c r="B11" s="12" t="n">
        <v>25.55</v>
      </c>
    </row>
    <row r="13" ht="18" customHeight="1">
      <c r="A13" s="3" t="inlineStr">
        <is>
          <t>Humidity</t>
        </is>
      </c>
      <c r="B13" s="6" t="inlineStr">
        <is>
          <t>ASCENDING</t>
        </is>
      </c>
    </row>
    <row r="14" ht="16" customHeight="1">
      <c r="A14" s="7" t="inlineStr">
        <is>
          <t>MAX</t>
        </is>
      </c>
      <c r="B14" s="8" t="n">
        <v>43.91</v>
      </c>
    </row>
    <row r="15" ht="16" customHeight="1">
      <c r="A15" s="9" t="inlineStr">
        <is>
          <t>AVG</t>
        </is>
      </c>
      <c r="B15" s="10" t="n">
        <v>43.906</v>
      </c>
    </row>
    <row r="16" ht="16" customHeight="1">
      <c r="A16" s="11" t="inlineStr">
        <is>
          <t>MIN</t>
        </is>
      </c>
      <c r="B16" s="12" t="n">
        <v>43.9</v>
      </c>
    </row>
    <row r="18" ht="18" customHeight="1">
      <c r="A18" s="3" t="inlineStr">
        <is>
          <t>Battery</t>
        </is>
      </c>
      <c r="B18" s="6" t="inlineStr">
        <is>
          <t>ASCENDING</t>
        </is>
      </c>
    </row>
    <row r="19" ht="16" customHeight="1">
      <c r="A19" s="7" t="inlineStr">
        <is>
          <t>MAX</t>
        </is>
      </c>
      <c r="B19" s="8" t="n">
        <v>-1</v>
      </c>
    </row>
    <row r="20" ht="16" customHeight="1">
      <c r="A20" s="9" t="inlineStr">
        <is>
          <t>AVG</t>
        </is>
      </c>
      <c r="B20" s="10" t="n">
        <v>-1</v>
      </c>
    </row>
    <row r="21" ht="16" customHeight="1">
      <c r="A21" s="11" t="inlineStr">
        <is>
          <t>MIN</t>
        </is>
      </c>
      <c r="B21" s="12" t="n">
        <v>-1</v>
      </c>
    </row>
    <row r="23" ht="18" customHeight="1">
      <c r="A23" s="3" t="inlineStr">
        <is>
          <t>PM 2.5</t>
        </is>
      </c>
      <c r="B23" s="6" t="inlineStr">
        <is>
          <t>ASCENDING</t>
        </is>
      </c>
    </row>
    <row r="24" ht="16" customHeight="1">
      <c r="A24" s="7" t="inlineStr">
        <is>
          <t>MAX</t>
        </is>
      </c>
      <c r="B24" s="8" t="n">
        <v>-1</v>
      </c>
    </row>
    <row r="25" ht="16" customHeight="1">
      <c r="A25" s="9" t="inlineStr">
        <is>
          <t>AVG</t>
        </is>
      </c>
      <c r="B25" s="10" t="n">
        <v>-1</v>
      </c>
    </row>
    <row r="26" ht="16" customHeight="1">
      <c r="A26" s="11" t="inlineStr">
        <is>
          <t>MIN</t>
        </is>
      </c>
      <c r="B26" s="12" t="n">
        <v>-1</v>
      </c>
    </row>
    <row r="28" ht="18" customHeight="1">
      <c r="A28" s="3" t="inlineStr">
        <is>
          <t>Voltage</t>
        </is>
      </c>
      <c r="B28" s="6" t="inlineStr">
        <is>
          <t>ASCENDING</t>
        </is>
      </c>
    </row>
    <row r="29" ht="16" customHeight="1">
      <c r="A29" s="7" t="inlineStr">
        <is>
          <t>MAX</t>
        </is>
      </c>
      <c r="B29" s="8" t="n">
        <v>-1</v>
      </c>
    </row>
    <row r="30" ht="16" customHeight="1">
      <c r="A30" s="9" t="inlineStr">
        <is>
          <t>AVG</t>
        </is>
      </c>
      <c r="B30" s="10" t="n">
        <v>-1</v>
      </c>
    </row>
    <row r="31" ht="16" customHeight="1">
      <c r="A31" s="11" t="inlineStr">
        <is>
          <t>MIN</t>
        </is>
      </c>
      <c r="B31" s="12" t="n">
        <v>-1</v>
      </c>
    </row>
    <row r="34" ht="20" customHeight="1">
      <c r="A34" s="13" t="inlineStr">
        <is>
          <t>── Detailed Statistics per Phase ──</t>
        </is>
      </c>
    </row>
    <row r="35" ht="22" customHeight="1">
      <c r="A35" s="14" t="inlineStr">
        <is>
          <t>🚀 ASCENDING  ·  5 packets</t>
        </is>
      </c>
    </row>
    <row r="36" ht="18" customHeight="1">
      <c r="A36" s="3" t="inlineStr">
        <is>
          <t>Parameter</t>
        </is>
      </c>
      <c r="B36" s="3" t="inlineStr">
        <is>
          <t>MAX</t>
        </is>
      </c>
      <c r="C36" s="3" t="inlineStr">
        <is>
          <t>MIN</t>
        </is>
      </c>
      <c r="D36" s="3" t="inlineStr">
        <is>
          <t>AVG</t>
        </is>
      </c>
      <c r="E36" s="3" t="inlineStr">
        <is>
          <t>STDDEV</t>
        </is>
      </c>
      <c r="F36" s="3" t="inlineStr">
        <is>
          <t>Count</t>
        </is>
      </c>
      <c r="G36" s="3" t="inlineStr">
        <is>
          <t>Unit</t>
        </is>
      </c>
    </row>
    <row r="37" ht="18" customHeight="1">
      <c r="A37" s="15" t="inlineStr">
        <is>
          <t>Temperature</t>
        </is>
      </c>
      <c r="B37" s="6" t="n">
        <v>25.55</v>
      </c>
      <c r="C37" s="16" t="n">
        <v>25.55</v>
      </c>
      <c r="D37" s="17" t="n">
        <v>25.55</v>
      </c>
      <c r="E37" s="18" t="n">
        <v>0</v>
      </c>
      <c r="F37" s="19" t="n">
        <v>5</v>
      </c>
      <c r="G37" s="19" t="inlineStr">
        <is>
          <t>°C</t>
        </is>
      </c>
    </row>
    <row r="38" ht="18" customHeight="1">
      <c r="A38" s="20" t="inlineStr">
        <is>
          <t>Humidity</t>
        </is>
      </c>
      <c r="B38" s="6" t="n">
        <v>43.91</v>
      </c>
      <c r="C38" s="16" t="n">
        <v>43.9</v>
      </c>
      <c r="D38" s="17" t="n">
        <v>43.906</v>
      </c>
      <c r="E38" s="21" t="n">
        <v>0.005</v>
      </c>
      <c r="F38" s="22" t="n">
        <v>5</v>
      </c>
      <c r="G38" s="22" t="inlineStr">
        <is>
          <t>%</t>
        </is>
      </c>
    </row>
    <row r="39" ht="18" customHeight="1">
      <c r="A39" s="15" t="inlineStr">
        <is>
          <t>Altitude</t>
        </is>
      </c>
      <c r="B39" s="6" t="n">
        <v>391.1</v>
      </c>
      <c r="C39" s="16" t="n">
        <v>390.7</v>
      </c>
      <c r="D39" s="17" t="n">
        <v>390.88</v>
      </c>
      <c r="E39" s="18" t="n">
        <v>0.133</v>
      </c>
      <c r="F39" s="19" t="n">
        <v>5</v>
      </c>
      <c r="G39" s="19" t="inlineStr">
        <is>
          <t>m</t>
        </is>
      </c>
    </row>
    <row r="40" ht="18" customHeight="1">
      <c r="A40" s="20" t="inlineStr">
        <is>
          <t>Acceleration X</t>
        </is>
      </c>
      <c r="B40" s="6" t="n">
        <v>-12</v>
      </c>
      <c r="C40" s="16" t="n">
        <v>-20</v>
      </c>
      <c r="D40" s="17" t="n">
        <v>-16</v>
      </c>
      <c r="E40" s="21" t="n">
        <v>2.53</v>
      </c>
      <c r="F40" s="22" t="n">
        <v>5</v>
      </c>
      <c r="G40" s="22" t="inlineStr">
        <is>
          <t>mg</t>
        </is>
      </c>
    </row>
    <row r="41" ht="18" customHeight="1">
      <c r="A41" s="15" t="inlineStr">
        <is>
          <t>Acceleration Y</t>
        </is>
      </c>
      <c r="B41" s="6" t="n">
        <v>0</v>
      </c>
      <c r="C41" s="16" t="n">
        <v>-4</v>
      </c>
      <c r="D41" s="17" t="n">
        <v>-2.4</v>
      </c>
      <c r="E41" s="18" t="n">
        <v>1.96</v>
      </c>
      <c r="F41" s="19" t="n">
        <v>5</v>
      </c>
      <c r="G41" s="19" t="inlineStr">
        <is>
          <t>mg</t>
        </is>
      </c>
    </row>
    <row r="42" ht="18" customHeight="1">
      <c r="A42" s="20" t="inlineStr">
        <is>
          <t>Acceleration Z</t>
        </is>
      </c>
      <c r="B42" s="6" t="n">
        <v>1008</v>
      </c>
      <c r="C42" s="16" t="n">
        <v>1004</v>
      </c>
      <c r="D42" s="17" t="n">
        <v>1005.6</v>
      </c>
      <c r="E42" s="21" t="n">
        <v>1.96</v>
      </c>
      <c r="F42" s="22" t="n">
        <v>5</v>
      </c>
      <c r="G42" s="22" t="inlineStr">
        <is>
          <t>mg</t>
        </is>
      </c>
    </row>
    <row r="43" ht="18" customHeight="1">
      <c r="A43" s="15" t="inlineStr">
        <is>
          <t>Heading</t>
        </is>
      </c>
      <c r="B43" s="6" t="n">
        <v>0</v>
      </c>
      <c r="C43" s="16" t="n">
        <v>0</v>
      </c>
      <c r="D43" s="17" t="n">
        <v>0</v>
      </c>
      <c r="E43" s="18" t="n">
        <v>0</v>
      </c>
      <c r="F43" s="19" t="n">
        <v>5</v>
      </c>
      <c r="G43" s="19" t="inlineStr">
        <is>
          <t>°</t>
        </is>
      </c>
    </row>
    <row r="44" ht="18" customHeight="1">
      <c r="A44" s="20" t="inlineStr">
        <is>
          <t>PM 1.0</t>
        </is>
      </c>
      <c r="B44" s="6" t="n">
        <v>-1</v>
      </c>
      <c r="C44" s="16" t="n">
        <v>-1</v>
      </c>
      <c r="D44" s="17" t="n">
        <v>-1</v>
      </c>
      <c r="E44" s="21" t="n">
        <v>0</v>
      </c>
      <c r="F44" s="22" t="n">
        <v>5</v>
      </c>
      <c r="G44" s="22" t="inlineStr">
        <is>
          <t>µg/m³</t>
        </is>
      </c>
    </row>
    <row r="45" ht="18" customHeight="1">
      <c r="A45" s="15" t="inlineStr">
        <is>
          <t>PM 2.5</t>
        </is>
      </c>
      <c r="B45" s="6" t="n">
        <v>-1</v>
      </c>
      <c r="C45" s="16" t="n">
        <v>-1</v>
      </c>
      <c r="D45" s="17" t="n">
        <v>-1</v>
      </c>
      <c r="E45" s="18" t="n">
        <v>0</v>
      </c>
      <c r="F45" s="19" t="n">
        <v>5</v>
      </c>
      <c r="G45" s="19" t="inlineStr">
        <is>
          <t>µg/m³</t>
        </is>
      </c>
    </row>
    <row r="46" ht="18" customHeight="1">
      <c r="A46" s="20" t="inlineStr">
        <is>
          <t>PM 10</t>
        </is>
      </c>
      <c r="B46" s="6" t="n">
        <v>-1</v>
      </c>
      <c r="C46" s="16" t="n">
        <v>-1</v>
      </c>
      <c r="D46" s="17" t="n">
        <v>-1</v>
      </c>
      <c r="E46" s="21" t="n">
        <v>0</v>
      </c>
      <c r="F46" s="22" t="n">
        <v>5</v>
      </c>
      <c r="G46" s="22" t="inlineStr">
        <is>
          <t>µg/m³</t>
        </is>
      </c>
    </row>
    <row r="47" ht="18" customHeight="1">
      <c r="A47" s="15" t="inlineStr">
        <is>
          <t>Voltage</t>
        </is>
      </c>
      <c r="B47" s="6" t="n">
        <v>-1</v>
      </c>
      <c r="C47" s="16" t="n">
        <v>-1</v>
      </c>
      <c r="D47" s="17" t="n">
        <v>-1</v>
      </c>
      <c r="E47" s="18" t="n">
        <v>0</v>
      </c>
      <c r="F47" s="19" t="n">
        <v>5</v>
      </c>
      <c r="G47" s="19" t="inlineStr">
        <is>
          <t>V</t>
        </is>
      </c>
    </row>
    <row r="48" ht="18" customHeight="1">
      <c r="A48" s="20" t="inlineStr">
        <is>
          <t>Current</t>
        </is>
      </c>
      <c r="B48" s="6" t="n">
        <v>-1</v>
      </c>
      <c r="C48" s="16" t="n">
        <v>-1</v>
      </c>
      <c r="D48" s="17" t="n">
        <v>-1</v>
      </c>
      <c r="E48" s="21" t="n">
        <v>0</v>
      </c>
      <c r="F48" s="22" t="n">
        <v>5</v>
      </c>
      <c r="G48" s="22" t="inlineStr">
        <is>
          <t>mA</t>
        </is>
      </c>
    </row>
    <row r="49" ht="18" customHeight="1">
      <c r="A49" s="15" t="inlineStr">
        <is>
          <t>Power</t>
        </is>
      </c>
      <c r="B49" s="6" t="n">
        <v>0</v>
      </c>
      <c r="C49" s="16" t="n">
        <v>0</v>
      </c>
      <c r="D49" s="17" t="n">
        <v>0</v>
      </c>
      <c r="E49" s="18" t="n">
        <v>0</v>
      </c>
      <c r="F49" s="19" t="n">
        <v>5</v>
      </c>
      <c r="G49" s="19" t="inlineStr">
        <is>
          <t>W</t>
        </is>
      </c>
    </row>
    <row r="50" ht="18" customHeight="1">
      <c r="A50" s="20" t="inlineStr">
        <is>
          <t>Battery</t>
        </is>
      </c>
      <c r="B50" s="6" t="n">
        <v>-1</v>
      </c>
      <c r="C50" s="16" t="n">
        <v>-1</v>
      </c>
      <c r="D50" s="17" t="n">
        <v>-1</v>
      </c>
      <c r="E50" s="21" t="n">
        <v>0</v>
      </c>
      <c r="F50" s="22" t="n">
        <v>5</v>
      </c>
      <c r="G50" s="22" t="inlineStr">
        <is>
          <t>%</t>
        </is>
      </c>
    </row>
    <row r="51" ht="18" customHeight="1">
      <c r="A51" s="15" t="inlineStr">
        <is>
          <t>Speed (calc)</t>
        </is>
      </c>
      <c r="B51" s="6" t="n">
        <v>0.4</v>
      </c>
      <c r="C51" s="16" t="n">
        <v>0</v>
      </c>
      <c r="D51" s="17" t="n">
        <v>0.16</v>
      </c>
      <c r="E51" s="18" t="n">
        <v>0.136</v>
      </c>
      <c r="F51" s="19" t="n">
        <v>5</v>
      </c>
      <c r="G51" s="19" t="inlineStr">
        <is>
          <t>m/s</t>
        </is>
      </c>
    </row>
    <row r="52" ht="18" customHeight="1">
      <c r="A52" s="20" t="inlineStr">
        <is>
          <t>Vert Accel (calc)</t>
        </is>
      </c>
      <c r="B52" s="6" t="n">
        <v>0.6</v>
      </c>
      <c r="C52" s="16" t="n">
        <v>-0.3</v>
      </c>
      <c r="D52" s="17" t="n">
        <v>0.08</v>
      </c>
      <c r="E52" s="21" t="n">
        <v>0.306</v>
      </c>
      <c r="F52" s="22" t="n">
        <v>5</v>
      </c>
      <c r="G52" s="22" t="inlineStr">
        <is>
          <t>m/s²</t>
        </is>
      </c>
    </row>
  </sheetData>
  <mergeCells count="3">
    <mergeCell ref="A1:L1"/>
    <mergeCell ref="A35:G35"/>
    <mergeCell ref="A34:G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28" customHeight="1">
      <c r="A1" s="1" t="inlineStr">
        <is>
          <t>📈  Mission Charts</t>
        </is>
      </c>
    </row>
    <row r="2">
      <c r="A2" s="3" t="inlineStr">
        <is>
          <t>Time (s)</t>
        </is>
      </c>
      <c r="B2" s="3" t="inlineStr">
        <is>
          <t>Altitude (m)</t>
        </is>
      </c>
      <c r="C2" s="3" t="inlineStr">
        <is>
          <t>Speed (m/s)</t>
        </is>
      </c>
      <c r="D2" s="3" t="inlineStr">
        <is>
          <t>Temp (°C)</t>
        </is>
      </c>
      <c r="E2" s="3" t="inlineStr">
        <is>
          <t>Humidity (%)</t>
        </is>
      </c>
      <c r="F2" s="3" t="inlineStr">
        <is>
          <t>Voltage (V)</t>
        </is>
      </c>
      <c r="G2" s="3" t="inlineStr">
        <is>
          <t>PM2.5 (µg)</t>
        </is>
      </c>
    </row>
    <row r="3">
      <c r="A3" s="5" t="n">
        <v>8.4</v>
      </c>
      <c r="B3" s="5" t="n">
        <v>390.9</v>
      </c>
      <c r="C3" s="5" t="n">
        <v>0</v>
      </c>
      <c r="D3" s="5" t="n">
        <v>25.55</v>
      </c>
      <c r="E3" s="5" t="n">
        <v>43.9</v>
      </c>
      <c r="F3" s="5" t="n">
        <v>-1</v>
      </c>
      <c r="G3" s="5" t="n">
        <v>-1</v>
      </c>
    </row>
    <row r="4">
      <c r="A4" s="4" t="n">
        <v>9.4</v>
      </c>
      <c r="B4" s="4" t="n">
        <v>390.8</v>
      </c>
      <c r="C4" s="4" t="n">
        <v>0.1</v>
      </c>
      <c r="D4" s="4" t="n">
        <v>25.55</v>
      </c>
      <c r="E4" s="4" t="n">
        <v>43.91</v>
      </c>
      <c r="F4" s="4" t="n">
        <v>-1</v>
      </c>
      <c r="G4" s="4" t="n">
        <v>-1</v>
      </c>
    </row>
    <row r="5">
      <c r="A5" s="5" t="n">
        <v>10.4</v>
      </c>
      <c r="B5" s="5" t="n">
        <v>390.9</v>
      </c>
      <c r="C5" s="5" t="n">
        <v>0.1</v>
      </c>
      <c r="D5" s="5" t="n">
        <v>25.55</v>
      </c>
      <c r="E5" s="5" t="n">
        <v>43.9</v>
      </c>
      <c r="F5" s="5" t="n">
        <v>-1</v>
      </c>
      <c r="G5" s="5" t="n">
        <v>-1</v>
      </c>
    </row>
    <row r="6">
      <c r="A6" s="4" t="n">
        <v>11.4</v>
      </c>
      <c r="B6" s="4" t="n">
        <v>390.7</v>
      </c>
      <c r="C6" s="4" t="n">
        <v>0.2</v>
      </c>
      <c r="D6" s="4" t="n">
        <v>25.55</v>
      </c>
      <c r="E6" s="4" t="n">
        <v>43.91</v>
      </c>
      <c r="F6" s="4" t="n">
        <v>-1</v>
      </c>
      <c r="G6" s="4" t="n">
        <v>-1</v>
      </c>
    </row>
    <row r="7">
      <c r="A7" s="5" t="n">
        <v>12.4</v>
      </c>
      <c r="B7" s="5" t="n">
        <v>391.1</v>
      </c>
      <c r="C7" s="5" t="n">
        <v>0.4</v>
      </c>
      <c r="D7" s="5" t="n">
        <v>25.55</v>
      </c>
      <c r="E7" s="5" t="n">
        <v>43.91</v>
      </c>
      <c r="F7" s="5" t="n">
        <v>-1</v>
      </c>
      <c r="G7" s="5" t="n">
        <v>-1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2026-05-28T08:16:18Z</dcterms:created>
  <dcterms:modified xsi:type="dcterms:W3CDTF">2026-05-28T08:16:18Z</dcterms:modified>
</cp:coreProperties>
</file>